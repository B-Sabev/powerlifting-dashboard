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<sst xmlns="http://schemas.openxmlformats.org/spreadsheetml/2006/main" count="109" uniqueCount="56">
  <si>
    <t xml:space="preserve">💪 Body Measurement Calculators</t>
  </si>
  <si>
    <t xml:space="preserve">Calculator 1 — Fat-Free Mass Index (FFMI)</t>
  </si>
  <si>
    <t xml:space="preserve">Input</t>
  </si>
  <si>
    <t xml:space="preserve">Value</t>
  </si>
  <si>
    <t xml:space="preserve">Unit</t>
  </si>
  <si>
    <t xml:space="preserve">Height</t>
  </si>
  <si>
    <t xml:space="preserve">cm</t>
  </si>
  <si>
    <t xml:space="preserve">Weight</t>
  </si>
  <si>
    <t xml:space="preserve">kg</t>
  </si>
  <si>
    <t xml:space="preserve">Body Fat</t>
  </si>
  <si>
    <t xml:space="preserve">%</t>
  </si>
  <si>
    <t xml:space="preserve">Results</t>
  </si>
  <si>
    <t xml:space="preserve">Fat-Free Mass (FFM)</t>
  </si>
  <si>
    <t xml:space="preserve">FFMI (raw)</t>
  </si>
  <si>
    <t xml:space="preserve">FFMI (normalized to 1.8m)</t>
  </si>
  <si>
    <t xml:space="preserve">Rating</t>
  </si>
  <si>
    <t xml:space="preserve">Calculator 2 — Target Body Composition Planner</t>
  </si>
  <si>
    <t xml:space="preserve">Height (from Calc 1)</t>
  </si>
  <si>
    <t xml:space="preserve">Current Weight (from Calc 1)</t>
  </si>
  <si>
    <t xml:space="preserve">Current Body Fat (from Calc 1)</t>
  </si>
  <si>
    <t xml:space="preserve">Target FFMI (normalized)</t>
  </si>
  <si>
    <t xml:space="preserve">Target Body Fat %</t>
  </si>
  <si>
    <t xml:space="preserve">Current FFM</t>
  </si>
  <si>
    <t xml:space="preserve">Target FFM</t>
  </si>
  <si>
    <t xml:space="preserve">Target Total Weight</t>
  </si>
  <si>
    <t xml:space="preserve">Δ Weight</t>
  </si>
  <si>
    <t xml:space="preserve">Δ Muscle (FFM)</t>
  </si>
  <si>
    <t xml:space="preserve">Δ Fat Mass</t>
  </si>
  <si>
    <t xml:space="preserve">Note: Δ values show how much muscle/fat to gain (+) or lose (−) vs current. Assumes height stays constant. Target FFMI uses the normalized formula. Grey input fields are auto-linked from Calculator 1.</t>
  </si>
  <si>
    <t xml:space="preserve">Calculator 3 — Maximum Muscular Potential (Casey Butt)</t>
  </si>
  <si>
    <t xml:space="preserve">Wrist circumference</t>
  </si>
  <si>
    <t xml:space="preserve">Ankle circumference</t>
  </si>
  <si>
    <t xml:space="preserve">Max FFM (Casey Butt)</t>
  </si>
  <si>
    <t xml:space="preserve">Total Weight at Target BF%</t>
  </si>
  <si>
    <t xml:space="preserve">Note: Casey Butt's formula is for natural males only. Wrist = measured just below the wrist bone (styloid process). Ankle = smallest circumference just above the ankle bone. Formula internally converts cm→inches and kg→lbs per original research.</t>
  </si>
  <si>
    <t xml:space="preserve">Calculator 4 — Gains Needed to Reach Casey Butt Potential</t>
  </si>
  <si>
    <t xml:space="preserve">Current Body Fat % (from Calc 1)</t>
  </si>
  <si>
    <t xml:space="preserve">Max FFM — Casey Butt (from Calc 3)</t>
  </si>
  <si>
    <t xml:space="preserve">Target Body Fat % (from Calc 3)</t>
  </si>
  <si>
    <t xml:space="preserve">Δ Muscle (FFM) to gain</t>
  </si>
  <si>
    <t xml:space="preserve">Δ Fat to gain/lose</t>
  </si>
  <si>
    <t xml:space="preserve">Note: Δ values show how much muscle/fat to gain (+) or lose (−) from current to reach Casey Butt's predicted maximum FFM at your target BF%. All inputs auto-linked from Calc 1 &amp; 3.</t>
  </si>
  <si>
    <t xml:space="preserve">Calculator 5 — Powerlifting Efficiency vs FFM Prediction (Nuckols)</t>
  </si>
  <si>
    <t xml:space="preserve">Lift</t>
  </si>
  <si>
    <t xml:space="preserve">Your 1RM (kg)</t>
  </si>
  <si>
    <t xml:space="preserve">FFM-Goal (kg)</t>
  </si>
  <si>
    <t xml:space="preserve">Efficiency</t>
  </si>
  <si>
    <t xml:space="preserve">Squat</t>
  </si>
  <si>
    <t xml:space="preserve">Bench</t>
  </si>
  <si>
    <t xml:space="preserve">Deadlift</t>
  </si>
  <si>
    <t xml:space="preserve">Total</t>
  </si>
  <si>
    <t xml:space="preserve">Note: FFM-Goal is the Nuckols-predicted lift for an elite powerlifter at your current FFM. Efficiency = Your 1RM ÷ FFM-Goal (100% = predicted elite level for your FFM). Squat=611.19×(FFM/H)−10.43 | Bench=427.14×(FFM/H)−14.75 | DL=410.2×(FFM/H)+102.5 | Total=1448.53×(FFM/H)+77.32</t>
  </si>
  <si>
    <t xml:space="preserve">Calculator 6 — Projected Lifts at Target &amp; Maximum FFM (Nuckols)</t>
  </si>
  <si>
    <t xml:space="preserve">At Target FFM (Calc 2)</t>
  </si>
  <si>
    <t xml:space="preserve">At Max FFM — Casey Butt (Calc 3)</t>
  </si>
  <si>
    <t xml:space="preserve">Note: Projects your predicted elite-level lifts at two FFM milestones. Target FFM (Calc 2) = your chosen FFMI goal. Max FFM (Calc 3) = Casey Butt genetic ceiling. Height auto-linked from Calc 1.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</si>
</sst>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%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theme="1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1"/>
      <color rgb="FFE651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1B5E20"/>
      <name val="Arial"/>
      <family val="0"/>
      <charset val="1"/>
    </font>
    <font>
      <sz val="11"/>
      <color rgb="FFE65100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rgb="FF6A1B9A"/>
      <name val="Arial"/>
      <family val="0"/>
      <charset val="1"/>
    </font>
    <font>
      <b val="true"/>
      <sz val="11"/>
      <color rgb="FF6A1B9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D6E4F7"/>
        <bgColor rgb="FFF3E5F5"/>
      </patternFill>
    </fill>
    <fill>
      <patternFill patternType="solid">
        <fgColor rgb="FFEBF3FB"/>
        <bgColor rgb="FFF0F0F0"/>
      </patternFill>
    </fill>
    <fill>
      <patternFill patternType="solid">
        <fgColor rgb="FFE8F5E9"/>
        <bgColor rgb="FFF0F0F0"/>
      </patternFill>
    </fill>
    <fill>
      <patternFill patternType="solid">
        <fgColor rgb="FFF0F0F0"/>
        <bgColor rgb="FFEBF3FB"/>
      </patternFill>
    </fill>
    <fill>
      <patternFill patternType="solid">
        <fgColor rgb="FFFFF8E1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6A1B9A"/>
        <bgColor rgb="FF800080"/>
      </patternFill>
    </fill>
    <fill>
      <patternFill patternType="solid">
        <fgColor rgb="FFF3E5F5"/>
        <bgColor rgb="FFF0F0F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9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BDBDBD"/>
      <rgbColor rgb="FF808080"/>
      <rgbColor rgb="FF9999FF"/>
      <rgbColor rgb="FF993366"/>
      <rgbColor rgb="FFFFF8E1"/>
      <rgbColor rgb="FFE8F5E9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0F0F0"/>
      <rgbColor rgb="FFFAFAFA"/>
      <rgbColor rgb="FF99CCFF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2" activeCellId="0" sqref="C5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1.88"/>
    <col collapsed="false" customWidth="true" hidden="false" outlineLevel="0" max="2" min="2" style="0" width="31.12"/>
  </cols>
  <sheetData>
    <row r="1" customFormat="false" ht="19.7" hidden="false" customHeight="false" outlineLevel="0" collapsed="false">
      <c r="A1" s="1" t="s">
        <v>0</v>
      </c>
      <c r="B1" s="1"/>
      <c r="C1" s="1"/>
      <c r="D1" s="2"/>
      <c r="E1" s="2"/>
      <c r="F1" s="2"/>
    </row>
    <row r="2" customFormat="false" ht="15.75" hidden="false" customHeight="false" outlineLevel="0" collapsed="false">
      <c r="A2" s="3" t="s">
        <v>1</v>
      </c>
      <c r="B2" s="3"/>
      <c r="C2" s="3"/>
      <c r="D2" s="2"/>
      <c r="F2" s="2"/>
    </row>
    <row r="3" customFormat="false" ht="15.75" hidden="false" customHeight="false" outlineLevel="0" collapsed="false">
      <c r="A3" s="4" t="s">
        <v>2</v>
      </c>
      <c r="B3" s="4" t="s">
        <v>3</v>
      </c>
      <c r="C3" s="4" t="s">
        <v>4</v>
      </c>
      <c r="D3" s="2"/>
      <c r="F3" s="2"/>
    </row>
    <row r="4" customFormat="false" ht="15.75" hidden="false" customHeight="false" outlineLevel="0" collapsed="false">
      <c r="A4" s="5" t="s">
        <v>5</v>
      </c>
      <c r="B4" s="6" t="n">
        <v>175</v>
      </c>
      <c r="C4" s="7" t="s">
        <v>6</v>
      </c>
      <c r="D4" s="2"/>
      <c r="F4" s="2"/>
    </row>
    <row r="5" customFormat="false" ht="15.75" hidden="false" customHeight="false" outlineLevel="0" collapsed="false">
      <c r="A5" s="5" t="s">
        <v>7</v>
      </c>
      <c r="B5" s="6" t="n">
        <v>85</v>
      </c>
      <c r="C5" s="7" t="s">
        <v>8</v>
      </c>
      <c r="D5" s="2"/>
      <c r="F5" s="2"/>
    </row>
    <row r="6" customFormat="false" ht="15.75" hidden="false" customHeight="false" outlineLevel="0" collapsed="false">
      <c r="A6" s="5" t="s">
        <v>9</v>
      </c>
      <c r="B6" s="6" t="n">
        <v>22</v>
      </c>
      <c r="C6" s="7" t="s">
        <v>10</v>
      </c>
      <c r="D6" s="2"/>
      <c r="F6" s="2"/>
    </row>
    <row r="7" customFormat="false" ht="15.75" hidden="false" customHeight="false" outlineLevel="0" collapsed="false">
      <c r="A7" s="3" t="s">
        <v>11</v>
      </c>
      <c r="B7" s="3"/>
      <c r="C7" s="3"/>
      <c r="D7" s="2"/>
      <c r="F7" s="2"/>
    </row>
    <row r="8" customFormat="false" ht="15.75" hidden="false" customHeight="false" outlineLevel="0" collapsed="false">
      <c r="A8" s="8" t="s">
        <v>12</v>
      </c>
      <c r="B8" s="9" t="n">
        <f aca="false">IF(AND(B4&gt;0,B5&gt;0,B6&gt;0),B5*(1-B6/100),"—")</f>
        <v>66.3</v>
      </c>
      <c r="C8" s="10" t="s">
        <v>8</v>
      </c>
      <c r="D8" s="2"/>
      <c r="F8" s="2"/>
    </row>
    <row r="9" customFormat="false" ht="15.75" hidden="false" customHeight="false" outlineLevel="0" collapsed="false">
      <c r="A9" s="5" t="s">
        <v>13</v>
      </c>
      <c r="B9" s="11" t="n">
        <f aca="false">IF(AND(B4&gt;0,B5&gt;0,B6&gt;0),((B5*(1-B6/100))/(B4/100)^2),"—")</f>
        <v>21.6489795918367</v>
      </c>
      <c r="C9" s="12"/>
      <c r="D9" s="2"/>
      <c r="F9" s="2"/>
    </row>
    <row r="10" customFormat="false" ht="15.75" hidden="false" customHeight="false" outlineLevel="0" collapsed="false">
      <c r="A10" s="5" t="s">
        <v>14</v>
      </c>
      <c r="B10" s="11" t="n">
        <f aca="false">IF(AND(B4&gt;0,B5&gt;0,B6&gt;0),((B5*(1-B6/100))/(B4/100)^2)+(6.1*(1.8-B4/100)),"—")</f>
        <v>21.9539795918367</v>
      </c>
      <c r="C10" s="12"/>
      <c r="D10" s="2"/>
      <c r="F10" s="2"/>
    </row>
    <row r="11" customFormat="false" ht="15.75" hidden="false" customHeight="false" outlineLevel="0" collapsed="false">
      <c r="A11" s="5" t="s">
        <v>15</v>
      </c>
      <c r="B11" s="13" t="str">
        <f aca="false">IF(B10="—","—",IF(B10&lt;18,"Below average",IF(B10&lt;20,"Average",IF(B10&lt;22,"Above average",IF(B10&lt;23,"Excellent",IF(B10&lt;26,"Superior (likely natural limit)","Exceptional (potential enhancement)"))))))</f>
        <v>Above average</v>
      </c>
      <c r="C11" s="13"/>
      <c r="D11" s="2"/>
      <c r="F11" s="2"/>
    </row>
    <row r="12" customFormat="false" ht="15.75" hidden="false" customHeight="false" outlineLevel="0" collapsed="false">
      <c r="A12" s="3" t="s">
        <v>16</v>
      </c>
      <c r="B12" s="3"/>
      <c r="C12" s="3"/>
      <c r="D12" s="2"/>
      <c r="F12" s="2"/>
    </row>
    <row r="13" customFormat="false" ht="15.75" hidden="false" customHeight="false" outlineLevel="0" collapsed="false">
      <c r="A13" s="4" t="s">
        <v>2</v>
      </c>
      <c r="B13" s="4" t="s">
        <v>3</v>
      </c>
      <c r="C13" s="4" t="s">
        <v>4</v>
      </c>
      <c r="D13" s="2"/>
      <c r="F13" s="2"/>
    </row>
    <row r="14" customFormat="false" ht="15.75" hidden="false" customHeight="false" outlineLevel="0" collapsed="false">
      <c r="A14" s="5" t="s">
        <v>17</v>
      </c>
      <c r="B14" s="14" t="n">
        <f aca="false">B4</f>
        <v>175</v>
      </c>
      <c r="C14" s="7" t="s">
        <v>6</v>
      </c>
      <c r="D14" s="2"/>
      <c r="F14" s="2"/>
    </row>
    <row r="15" customFormat="false" ht="15.75" hidden="false" customHeight="false" outlineLevel="0" collapsed="false">
      <c r="A15" s="5" t="s">
        <v>18</v>
      </c>
      <c r="B15" s="14" t="n">
        <f aca="false">B5</f>
        <v>85</v>
      </c>
      <c r="C15" s="7" t="s">
        <v>8</v>
      </c>
      <c r="D15" s="2"/>
      <c r="F15" s="2"/>
    </row>
    <row r="16" customFormat="false" ht="15.75" hidden="false" customHeight="false" outlineLevel="0" collapsed="false">
      <c r="A16" s="5" t="s">
        <v>19</v>
      </c>
      <c r="B16" s="14" t="n">
        <f aca="false">B6</f>
        <v>22</v>
      </c>
      <c r="C16" s="7" t="s">
        <v>10</v>
      </c>
      <c r="D16" s="2"/>
      <c r="F16" s="2"/>
    </row>
    <row r="17" customFormat="false" ht="15.75" hidden="false" customHeight="false" outlineLevel="0" collapsed="false">
      <c r="A17" s="5" t="s">
        <v>20</v>
      </c>
      <c r="B17" s="6" t="n">
        <v>27</v>
      </c>
      <c r="C17" s="15"/>
      <c r="D17" s="2"/>
      <c r="F17" s="2"/>
    </row>
    <row r="18" customFormat="false" ht="15.75" hidden="false" customHeight="false" outlineLevel="0" collapsed="false">
      <c r="A18" s="5" t="s">
        <v>21</v>
      </c>
      <c r="B18" s="6" t="n">
        <v>15</v>
      </c>
      <c r="C18" s="7" t="s">
        <v>10</v>
      </c>
      <c r="D18" s="2"/>
      <c r="F18" s="2"/>
    </row>
    <row r="19" customFormat="false" ht="15.75" hidden="false" customHeight="false" outlineLevel="0" collapsed="false">
      <c r="A19" s="3" t="s">
        <v>11</v>
      </c>
      <c r="B19" s="3"/>
      <c r="C19" s="3"/>
      <c r="D19" s="2"/>
      <c r="F19" s="2"/>
    </row>
    <row r="20" customFormat="false" ht="15.75" hidden="false" customHeight="false" outlineLevel="0" collapsed="false">
      <c r="A20" s="8" t="s">
        <v>22</v>
      </c>
      <c r="B20" s="9" t="n">
        <f aca="false">IF(AND(B4&gt;0,B5&gt;0,B6&gt;0,B17&gt;0,B18&gt;0),B8,"—")</f>
        <v>66.3</v>
      </c>
      <c r="C20" s="10" t="s">
        <v>8</v>
      </c>
      <c r="D20" s="2"/>
      <c r="F20" s="2"/>
    </row>
    <row r="21" customFormat="false" ht="15.75" hidden="false" customHeight="false" outlineLevel="0" collapsed="false">
      <c r="A21" s="5" t="s">
        <v>23</v>
      </c>
      <c r="B21" s="11" t="n">
        <f aca="false">IF(AND(B4&gt;0,B5&gt;0,B6&gt;0,B17&gt;0,B18&gt;0),(B17-6.1*(1.8-B14/100))*(B14/100)^2,"—")</f>
        <v>81.7534375</v>
      </c>
      <c r="C21" s="10" t="s">
        <v>8</v>
      </c>
      <c r="D21" s="2"/>
      <c r="F21" s="2"/>
    </row>
    <row r="22" customFormat="false" ht="15.75" hidden="false" customHeight="false" outlineLevel="0" collapsed="false">
      <c r="A22" s="5" t="s">
        <v>24</v>
      </c>
      <c r="B22" s="11" t="n">
        <f aca="false">IF(AND(B4&gt;0,B5&gt;0,B6&gt;0,B17&gt;0,B18&gt;0),(B17-6.1*(1.8-B14/100))*(B14/100)^2/(1-B18/100),"—")</f>
        <v>96.1805147058824</v>
      </c>
      <c r="C22" s="16" t="s">
        <v>8</v>
      </c>
      <c r="D22" s="2"/>
      <c r="F22" s="2"/>
    </row>
    <row r="23" customFormat="false" ht="15.75" hidden="false" customHeight="false" outlineLevel="0" collapsed="false">
      <c r="A23" s="5" t="s">
        <v>25</v>
      </c>
      <c r="B23" s="17" t="n">
        <f aca="false">IF(AND(B4&gt;0,B5&gt;0,B6&gt;0,B17&gt;0,B18&gt;0),B22-B15,"—")</f>
        <v>11.1805147058824</v>
      </c>
      <c r="C23" s="18" t="s">
        <v>8</v>
      </c>
      <c r="D23" s="2"/>
      <c r="F23" s="2"/>
    </row>
    <row r="24" customFormat="false" ht="15.75" hidden="false" customHeight="false" outlineLevel="0" collapsed="false">
      <c r="A24" s="5" t="s">
        <v>26</v>
      </c>
      <c r="B24" s="17" t="n">
        <f aca="false">IF(AND(B4&gt;0,B5&gt;0,B6&gt;0,B17&gt;0,B18&gt;0),B21-B8,"—")</f>
        <v>15.4534375</v>
      </c>
      <c r="C24" s="18" t="s">
        <v>8</v>
      </c>
      <c r="D24" s="2"/>
      <c r="F24" s="2"/>
    </row>
    <row r="25" customFormat="false" ht="15.75" hidden="false" customHeight="false" outlineLevel="0" collapsed="false">
      <c r="A25" s="5" t="s">
        <v>27</v>
      </c>
      <c r="B25" s="17" t="n">
        <f aca="false">IF(AND(B4&gt;0,B5&gt;0,B6&gt;0,B17&gt;0,B18&gt;0),(B22-B15)-(B21-B8),"—")</f>
        <v>-4.27292279411765</v>
      </c>
      <c r="C25" s="18" t="s">
        <v>8</v>
      </c>
      <c r="D25" s="2"/>
      <c r="F25" s="2"/>
    </row>
    <row r="26" customFormat="false" ht="32.8" hidden="false" customHeight="true" outlineLevel="0" collapsed="false">
      <c r="A26" s="19" t="s">
        <v>28</v>
      </c>
      <c r="B26" s="19"/>
      <c r="C26" s="19"/>
      <c r="D26" s="2"/>
      <c r="F26" s="2"/>
    </row>
    <row r="27" customFormat="false" ht="15.75" hidden="false" customHeight="false" outlineLevel="0" collapsed="false">
      <c r="A27" s="3" t="s">
        <v>29</v>
      </c>
      <c r="B27" s="3"/>
      <c r="C27" s="3"/>
      <c r="D27" s="2"/>
      <c r="F27" s="2"/>
    </row>
    <row r="28" customFormat="false" ht="15.75" hidden="false" customHeight="false" outlineLevel="0" collapsed="false">
      <c r="A28" s="4" t="s">
        <v>2</v>
      </c>
      <c r="B28" s="4" t="s">
        <v>3</v>
      </c>
      <c r="C28" s="4" t="s">
        <v>4</v>
      </c>
      <c r="D28" s="2"/>
      <c r="F28" s="2"/>
    </row>
    <row r="29" customFormat="false" ht="15.75" hidden="false" customHeight="false" outlineLevel="0" collapsed="false">
      <c r="A29" s="5" t="s">
        <v>17</v>
      </c>
      <c r="B29" s="14" t="n">
        <f aca="false">B4</f>
        <v>175</v>
      </c>
      <c r="C29" s="20" t="s">
        <v>6</v>
      </c>
      <c r="D29" s="2"/>
      <c r="F29" s="2"/>
    </row>
    <row r="30" customFormat="false" ht="15.75" hidden="false" customHeight="false" outlineLevel="0" collapsed="false">
      <c r="A30" s="5" t="s">
        <v>30</v>
      </c>
      <c r="B30" s="6" t="n">
        <v>17.5</v>
      </c>
      <c r="C30" s="7" t="s">
        <v>6</v>
      </c>
      <c r="D30" s="2"/>
      <c r="F30" s="2"/>
    </row>
    <row r="31" customFormat="false" ht="15.75" hidden="false" customHeight="false" outlineLevel="0" collapsed="false">
      <c r="A31" s="5" t="s">
        <v>31</v>
      </c>
      <c r="B31" s="6" t="n">
        <v>24.5</v>
      </c>
      <c r="C31" s="7" t="s">
        <v>6</v>
      </c>
      <c r="D31" s="2"/>
      <c r="F31" s="2"/>
    </row>
    <row r="32" customFormat="false" ht="15.75" hidden="false" customHeight="false" outlineLevel="0" collapsed="false">
      <c r="A32" s="5" t="s">
        <v>21</v>
      </c>
      <c r="B32" s="6" t="n">
        <v>15</v>
      </c>
      <c r="C32" s="7" t="s">
        <v>10</v>
      </c>
      <c r="D32" s="2"/>
      <c r="F32" s="2"/>
    </row>
    <row r="33" customFormat="false" ht="15.75" hidden="false" customHeight="false" outlineLevel="0" collapsed="false">
      <c r="A33" s="3" t="s">
        <v>11</v>
      </c>
      <c r="B33" s="3"/>
      <c r="C33" s="3"/>
      <c r="D33" s="2"/>
      <c r="F33" s="2"/>
    </row>
    <row r="34" customFormat="false" ht="15.75" hidden="false" customHeight="false" outlineLevel="0" collapsed="false">
      <c r="A34" s="8" t="s">
        <v>32</v>
      </c>
      <c r="B34" s="9" t="n">
        <f aca="false">IF(AND(B4&gt;0,B30&gt;0,B31&gt;0,B32&gt;0),((B29/2.54)^1.5)*(SQRT(B30/2.54)/22.667+SQRT(B31/2.54)/17.0104)*(B32/224+1)*0.453592,"—")</f>
        <v>82.5829440475495</v>
      </c>
      <c r="C34" s="10" t="s">
        <v>8</v>
      </c>
      <c r="D34" s="2"/>
      <c r="F34" s="2"/>
    </row>
    <row r="35" customFormat="false" ht="15.75" hidden="false" customHeight="false" outlineLevel="0" collapsed="false">
      <c r="A35" s="5" t="s">
        <v>33</v>
      </c>
      <c r="B35" s="11" t="n">
        <f aca="false">IF(AND(B4&gt;0,B30&gt;0,B31&gt;0,B32&gt;0),B34/(1-B32/100),"—")</f>
        <v>97.1564047618229</v>
      </c>
      <c r="C35" s="16" t="s">
        <v>8</v>
      </c>
      <c r="D35" s="2"/>
      <c r="F35" s="2"/>
    </row>
    <row r="36" customFormat="false" ht="32.8" hidden="false" customHeight="true" outlineLevel="0" collapsed="false">
      <c r="A36" s="19" t="s">
        <v>34</v>
      </c>
      <c r="B36" s="19"/>
      <c r="C36" s="19"/>
      <c r="D36" s="2"/>
      <c r="F36" s="2"/>
    </row>
    <row r="37" customFormat="false" ht="15.75" hidden="false" customHeight="false" outlineLevel="0" collapsed="false">
      <c r="A37" s="3" t="s">
        <v>35</v>
      </c>
      <c r="B37" s="3"/>
      <c r="C37" s="3"/>
      <c r="D37" s="2"/>
      <c r="F37" s="2"/>
    </row>
    <row r="38" customFormat="false" ht="15.75" hidden="false" customHeight="false" outlineLevel="0" collapsed="false">
      <c r="A38" s="4" t="s">
        <v>2</v>
      </c>
      <c r="B38" s="4" t="s">
        <v>3</v>
      </c>
      <c r="C38" s="4" t="s">
        <v>4</v>
      </c>
      <c r="D38" s="2"/>
      <c r="F38" s="2"/>
    </row>
    <row r="39" customFormat="false" ht="15.75" hidden="false" customHeight="false" outlineLevel="0" collapsed="false">
      <c r="A39" s="5" t="s">
        <v>18</v>
      </c>
      <c r="B39" s="14" t="n">
        <f aca="false">B5</f>
        <v>85</v>
      </c>
      <c r="C39" s="20" t="s">
        <v>8</v>
      </c>
      <c r="D39" s="2"/>
      <c r="F39" s="2"/>
    </row>
    <row r="40" customFormat="false" ht="15.75" hidden="false" customHeight="false" outlineLevel="0" collapsed="false">
      <c r="A40" s="5" t="s">
        <v>36</v>
      </c>
      <c r="B40" s="14" t="n">
        <f aca="false">B6</f>
        <v>22</v>
      </c>
      <c r="C40" s="20" t="s">
        <v>10</v>
      </c>
      <c r="D40" s="2"/>
      <c r="F40" s="2"/>
    </row>
    <row r="41" customFormat="false" ht="15.75" hidden="false" customHeight="false" outlineLevel="0" collapsed="false">
      <c r="A41" s="5" t="s">
        <v>37</v>
      </c>
      <c r="B41" s="14" t="n">
        <f aca="false">B34</f>
        <v>82.5829440475495</v>
      </c>
      <c r="C41" s="20" t="s">
        <v>8</v>
      </c>
      <c r="D41" s="2"/>
      <c r="F41" s="2"/>
    </row>
    <row r="42" customFormat="false" ht="15.75" hidden="false" customHeight="false" outlineLevel="0" collapsed="false">
      <c r="A42" s="5" t="s">
        <v>38</v>
      </c>
      <c r="B42" s="14" t="n">
        <f aca="false">B32</f>
        <v>15</v>
      </c>
      <c r="C42" s="20" t="s">
        <v>10</v>
      </c>
      <c r="D42" s="2"/>
      <c r="F42" s="2"/>
    </row>
    <row r="43" customFormat="false" ht="15.75" hidden="false" customHeight="false" outlineLevel="0" collapsed="false">
      <c r="A43" s="3" t="s">
        <v>11</v>
      </c>
      <c r="B43" s="3"/>
      <c r="C43" s="3"/>
      <c r="D43" s="2"/>
      <c r="F43" s="2"/>
    </row>
    <row r="44" customFormat="false" ht="15.75" hidden="false" customHeight="false" outlineLevel="0" collapsed="false">
      <c r="A44" s="8" t="s">
        <v>22</v>
      </c>
      <c r="B44" s="9" t="n">
        <f aca="false">IF(AND(B5&gt;0,B6&gt;0,ISNUMBER(B34),B34&gt;0,ISNUMBER(B35),B35&gt;0),B8,"—")</f>
        <v>66.3</v>
      </c>
      <c r="C44" s="10" t="s">
        <v>8</v>
      </c>
      <c r="D44" s="2"/>
      <c r="F44" s="2"/>
    </row>
    <row r="45" customFormat="false" ht="15.75" hidden="false" customHeight="false" outlineLevel="0" collapsed="false">
      <c r="A45" s="5" t="s">
        <v>24</v>
      </c>
      <c r="B45" s="11" t="n">
        <f aca="false">IF(AND(B5&gt;0,B6&gt;0,ISNUMBER(B34),B34&gt;0,ISNUMBER(B35),B35&gt;0),B35,"—")</f>
        <v>97.1564047618229</v>
      </c>
      <c r="C45" s="16" t="s">
        <v>8</v>
      </c>
      <c r="D45" s="2"/>
      <c r="F45" s="2"/>
    </row>
    <row r="46" customFormat="false" ht="15.75" hidden="false" customHeight="false" outlineLevel="0" collapsed="false">
      <c r="A46" s="5" t="s">
        <v>25</v>
      </c>
      <c r="B46" s="17" t="n">
        <f aca="false">IF(AND(B5&gt;0,B6&gt;0,ISNUMBER(B34),B34&gt;0,ISNUMBER(B35),B35&gt;0),B35-B5,"—")</f>
        <v>12.1564047618229</v>
      </c>
      <c r="C46" s="2"/>
      <c r="D46" s="2"/>
      <c r="F46" s="2"/>
    </row>
    <row r="47" customFormat="false" ht="15.75" hidden="false" customHeight="false" outlineLevel="0" collapsed="false">
      <c r="A47" s="5" t="s">
        <v>39</v>
      </c>
      <c r="B47" s="17" t="n">
        <f aca="false">IF(AND(B5&gt;0,B6&gt;0,ISNUMBER(B34),B34&gt;0,ISNUMBER(B35),B35&gt;0),B34-B8,"—")</f>
        <v>16.2829440475495</v>
      </c>
      <c r="C47" s="18" t="s">
        <v>8</v>
      </c>
      <c r="D47" s="2"/>
      <c r="F47" s="2"/>
    </row>
    <row r="48" customFormat="false" ht="15.75" hidden="false" customHeight="false" outlineLevel="0" collapsed="false">
      <c r="A48" s="5" t="s">
        <v>40</v>
      </c>
      <c r="B48" s="17" t="n">
        <f aca="false">IF(AND(B5&gt;0,B6&gt;0,ISNUMBER(B34),B34&gt;0,ISNUMBER(B35),B35&gt;0),(B35-B5)-(B34-B8),"—")</f>
        <v>-4.12653928572657</v>
      </c>
      <c r="C48" s="18" t="s">
        <v>8</v>
      </c>
      <c r="D48" s="2"/>
      <c r="F48" s="2"/>
    </row>
    <row r="49" customFormat="false" ht="22.35" hidden="false" customHeight="true" outlineLevel="0" collapsed="false">
      <c r="A49" s="19" t="s">
        <v>41</v>
      </c>
      <c r="B49" s="19"/>
      <c r="C49" s="19"/>
      <c r="D49" s="2"/>
      <c r="F49" s="2"/>
    </row>
    <row r="50" customFormat="false" ht="15.75" hidden="false" customHeight="false" outlineLevel="0" collapsed="false">
      <c r="A50" s="3" t="s">
        <v>42</v>
      </c>
      <c r="B50" s="3"/>
      <c r="C50" s="3"/>
      <c r="D50" s="3"/>
      <c r="F50" s="2"/>
    </row>
    <row r="51" customFormat="false" ht="15.75" hidden="false" customHeight="false" outlineLevel="0" collapsed="false">
      <c r="A51" s="4" t="s">
        <v>43</v>
      </c>
      <c r="B51" s="4" t="s">
        <v>44</v>
      </c>
      <c r="C51" s="4" t="s">
        <v>45</v>
      </c>
      <c r="D51" s="4" t="s">
        <v>46</v>
      </c>
      <c r="F51" s="2"/>
    </row>
    <row r="52" customFormat="false" ht="15.75" hidden="false" customHeight="false" outlineLevel="0" collapsed="false">
      <c r="A52" s="5" t="s">
        <v>47</v>
      </c>
      <c r="B52" s="6" t="n">
        <v>160</v>
      </c>
      <c r="C52" s="21" t="n">
        <f aca="false">IF(AND(ISNUMBER(B8),B8&gt;0,B4&gt;0),611.19*(B8/B4)+(-10.43),"—")</f>
        <v>221.123697142857</v>
      </c>
      <c r="D52" s="22" t="n">
        <f aca="false">IF(ISNUMBER(B8),IF(B8&gt;0,IF(B4&gt;0,IF(ISNUMBER(B52),IF(B52&gt;0,B52/(611.19*(B8/B4)+(-10.43)),"—"),"—"),"—"),"—"),"—")</f>
        <v>0.723576903187504</v>
      </c>
      <c r="F52" s="2"/>
    </row>
    <row r="53" customFormat="false" ht="15.75" hidden="false" customHeight="false" outlineLevel="0" collapsed="false">
      <c r="A53" s="5" t="s">
        <v>48</v>
      </c>
      <c r="B53" s="6" t="n">
        <v>115</v>
      </c>
      <c r="C53" s="21" t="n">
        <f aca="false">IF(AND(ISNUMBER(B8),B8&gt;0,B4&gt;0),427.14*(B8/B4)+(-14.75),"—")</f>
        <v>147.07504</v>
      </c>
      <c r="D53" s="22" t="n">
        <f aca="false">IF(ISNUMBER(B8),IF(B8&gt;0,IF(B4&gt;0,IF(ISNUMBER(B53),IF(B53&gt;0,B53/(427.14*(B8/B4)+(-14.75)),"—"),"—"),"—"),"—"),"—")</f>
        <v>0.781913776804004</v>
      </c>
      <c r="F53" s="2"/>
    </row>
    <row r="54" customFormat="false" ht="15.75" hidden="false" customHeight="false" outlineLevel="0" collapsed="false">
      <c r="A54" s="5" t="s">
        <v>49</v>
      </c>
      <c r="B54" s="6" t="n">
        <v>170</v>
      </c>
      <c r="C54" s="21" t="n">
        <f aca="false">IF(AND(ISNUMBER(B8),B8&gt;0,B4&gt;0),410.2*(B8/B4)+(102.5),"—")</f>
        <v>257.9072</v>
      </c>
      <c r="D54" s="22" t="n">
        <f aca="false">IF(ISNUMBER(B8),IF(B8&gt;0,IF(B4&gt;0,IF(ISNUMBER(B54),IF(B54&gt;0,B54/(410.2*(B8/B4)+(102.5)),"—"),"—"),"—"),"—"),"—")</f>
        <v>0.659151818948831</v>
      </c>
      <c r="F54" s="2"/>
    </row>
    <row r="55" customFormat="false" ht="15.75" hidden="false" customHeight="false" outlineLevel="0" collapsed="false">
      <c r="A55" s="23" t="s">
        <v>50</v>
      </c>
      <c r="B55" s="24" t="n">
        <f aca="false">IF(AND(ISNUMBER(B52),B52&gt;0,ISNUMBER(B53),B53&gt;0,ISNUMBER(B54),B54&gt;0),B52+B53+B54,"—")</f>
        <v>445</v>
      </c>
      <c r="C55" s="24" t="n">
        <f aca="false">IF(AND(ISNUMBER(B8),B8&gt;0,B4&gt;0),1448.53*(B8/B4)+(77.32),"—")</f>
        <v>626.105937142857</v>
      </c>
      <c r="D55" s="25" t="n">
        <f aca="false">IF(ISNUMBER(B8),IF(B8&gt;0,IF(B4&gt;0,IF(ISNUMBER(B55),IF(B55&gt;0,B55/(1448.53*(B8/B4)+(77.32)),"—"),"—"),"—"),"—"),"—")</f>
        <v>0.710742341832266</v>
      </c>
      <c r="F55" s="2"/>
    </row>
    <row r="56" customFormat="false" ht="32.8" hidden="false" customHeight="true" outlineLevel="0" collapsed="false">
      <c r="A56" s="19" t="s">
        <v>51</v>
      </c>
      <c r="B56" s="19"/>
      <c r="C56" s="19"/>
      <c r="D56" s="19"/>
      <c r="F56" s="2"/>
    </row>
    <row r="57" customFormat="false" ht="15.75" hidden="false" customHeight="false" outlineLevel="0" collapsed="false">
      <c r="A57" s="3" t="s">
        <v>52</v>
      </c>
      <c r="B57" s="3"/>
      <c r="C57" s="3"/>
      <c r="D57" s="3"/>
      <c r="F57" s="2"/>
    </row>
    <row r="58" customFormat="false" ht="32.8" hidden="false" customHeight="false" outlineLevel="0" collapsed="false">
      <c r="A58" s="4" t="s">
        <v>43</v>
      </c>
      <c r="B58" s="26" t="s">
        <v>53</v>
      </c>
      <c r="C58" s="27" t="s">
        <v>54</v>
      </c>
      <c r="D58" s="4" t="s">
        <v>4</v>
      </c>
      <c r="F58" s="2"/>
    </row>
    <row r="59" customFormat="false" ht="15.75" hidden="false" customHeight="false" outlineLevel="0" collapsed="false">
      <c r="A59" s="5" t="s">
        <v>47</v>
      </c>
      <c r="B59" s="21" t="n">
        <f aca="false">IF(AND(ISNUMBER(B21),B21&gt;0,ISNUMBER(B4),B4&gt;0),611.19*(B21/B4)+(-10.43),"—")</f>
        <v>275.095048375</v>
      </c>
      <c r="C59" s="28" t="n">
        <f aca="false">IF(AND(ISNUMBER(B34),B34&gt;0,ISNUMBER(B4),B4&gt;0),611.19*(B34/B4)+(-10.43),"—")</f>
        <v>277.99211184241</v>
      </c>
      <c r="D59" s="20" t="s">
        <v>8</v>
      </c>
      <c r="F59" s="2"/>
    </row>
    <row r="60" customFormat="false" ht="15.75" hidden="false" customHeight="false" outlineLevel="0" collapsed="false">
      <c r="A60" s="5" t="s">
        <v>48</v>
      </c>
      <c r="B60" s="21" t="n">
        <f aca="false">IF(AND(ISNUMBER(B21),B21&gt;0,ISNUMBER(B4),B4&gt;0),427.14*(B21/B4)+(-14.75),"—")</f>
        <v>184.79379025</v>
      </c>
      <c r="C60" s="28" t="n">
        <f aca="false">IF(AND(ISNUMBER(B34),B34&gt;0,ISNUMBER(B4),B4&gt;0),427.14*(B34/B4)+(-14.75),"—")</f>
        <v>186.818449831259</v>
      </c>
      <c r="D60" s="20" t="s">
        <v>8</v>
      </c>
      <c r="F60" s="2"/>
    </row>
    <row r="61" customFormat="false" ht="15.75" hidden="false" customHeight="false" outlineLevel="0" collapsed="false">
      <c r="A61" s="5" t="s">
        <v>49</v>
      </c>
      <c r="B61" s="21" t="n">
        <f aca="false">IF(AND(ISNUMBER(B21),B21&gt;0,ISNUMBER(B4),B4&gt;0),410.2*(B21/B4)+(102.5),"—")</f>
        <v>294.1300575</v>
      </c>
      <c r="C61" s="28" t="n">
        <f aca="false">IF(AND(ISNUMBER(B34),B34&gt;0,ISNUMBER(B4),B4&gt;0),410.2*(B34/B4)+(102.5),"—")</f>
        <v>296.074420847456</v>
      </c>
      <c r="D61" s="20" t="s">
        <v>8</v>
      </c>
      <c r="F61" s="2"/>
    </row>
    <row r="62" customFormat="false" ht="15.75" hidden="false" customHeight="false" outlineLevel="0" collapsed="false">
      <c r="A62" s="23" t="s">
        <v>50</v>
      </c>
      <c r="B62" s="24" t="n">
        <f aca="false">IF(AND(ISNUMBER(B21),B21&gt;0,ISNUMBER(B4),B4&gt;0),1448.53*(B21/B4)+(77.32),"—")</f>
        <v>754.018896125</v>
      </c>
      <c r="C62" s="29" t="n">
        <f aca="false">IF(AND(ISNUMBER(B34),B34&gt;0,ISNUMBER(B4),B4&gt;0),1448.53*(B34/B4)+(77.32),"—")</f>
        <v>760.884982521125</v>
      </c>
      <c r="D62" s="20" t="s">
        <v>8</v>
      </c>
      <c r="F62" s="2"/>
    </row>
    <row r="63" customFormat="false" ht="22.35" hidden="false" customHeight="true" outlineLevel="0" collapsed="false">
      <c r="A63" s="19" t="s">
        <v>55</v>
      </c>
      <c r="B63" s="19"/>
      <c r="C63" s="19"/>
      <c r="D63" s="19"/>
      <c r="F63" s="2"/>
    </row>
    <row r="64" customFormat="false" ht="15.75" hidden="false" customHeight="false" outlineLevel="0" collapsed="false">
      <c r="A64" s="2"/>
      <c r="F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</row>
  </sheetData>
  <mergeCells count="17">
    <mergeCell ref="A1:C1"/>
    <mergeCell ref="A2:C2"/>
    <mergeCell ref="A7:C7"/>
    <mergeCell ref="B11:C11"/>
    <mergeCell ref="A12:C12"/>
    <mergeCell ref="A19:C19"/>
    <mergeCell ref="A26:C26"/>
    <mergeCell ref="A27:C27"/>
    <mergeCell ref="A33:C33"/>
    <mergeCell ref="A36:C36"/>
    <mergeCell ref="A37:C37"/>
    <mergeCell ref="A43:C43"/>
    <mergeCell ref="A49:C49"/>
    <mergeCell ref="A50:D50"/>
    <mergeCell ref="A56:D56"/>
    <mergeCell ref="A57:D57"/>
    <mergeCell ref="A63:D6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2026-06-25T08:53:04Z</dcterms:modified>
  <cp:revision>1</cp:revision>
  <dc:subject/>
  <dc:title/>
</cp:coreProperties>
</file>